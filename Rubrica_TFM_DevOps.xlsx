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mary_\Desktop\Unir\Desarrollo de Proyectos Ágiles, Cloud y DevOps (TFM)\"/>
    </mc:Choice>
  </mc:AlternateContent>
  <xr:revisionPtr revIDLastSave="0" documentId="13_ncr:1_{DA441C26-E8A8-44F8-89B6-C19251CE71F6}" xr6:coauthVersionLast="47" xr6:coauthVersionMax="47" xr10:uidLastSave="{00000000-0000-0000-0000-000000000000}"/>
  <bookViews>
    <workbookView xWindow="-120" yWindow="-120" windowWidth="20730" windowHeight="11040" tabRatio="500" firstSheet="2" activeTab="2" xr2:uid="{00000000-000D-0000-FFFF-FFFF00000000}"/>
  </bookViews>
  <sheets>
    <sheet name="Instrucciones" sheetId="1" r:id="rId1"/>
    <sheet name="CHECK-LIST" sheetId="2" r:id="rId2"/>
    <sheet name="SIG"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3" l="1"/>
  <c r="H18" i="3"/>
  <c r="H17" i="3"/>
  <c r="H16" i="3"/>
  <c r="H15" i="3"/>
  <c r="H14" i="3"/>
  <c r="H13" i="3"/>
  <c r="H12" i="3"/>
  <c r="H11" i="3"/>
  <c r="H10" i="3"/>
  <c r="H9" i="3"/>
  <c r="H7" i="3"/>
  <c r="H6" i="3"/>
  <c r="H5" i="3"/>
  <c r="J16" i="3" l="1"/>
  <c r="J5" i="3"/>
  <c r="J9" i="3"/>
  <c r="H20" i="3" l="1"/>
</calcChain>
</file>

<file path=xl/sharedStrings.xml><?xml version="1.0" encoding="utf-8"?>
<sst xmlns="http://schemas.openxmlformats.org/spreadsheetml/2006/main" count="144" uniqueCount="121">
  <si>
    <t>Título:</t>
  </si>
  <si>
    <t>Rubrica para la evaluación de TFE (Tribunal)</t>
  </si>
  <si>
    <t>Descripción:</t>
  </si>
  <si>
    <t>Aspectos y criterios a valorar por el tribunal encargado de la evaluación de los TFM</t>
  </si>
  <si>
    <t>*</t>
  </si>
  <si>
    <t>La rúbrica es una herramienta de evaluación que permite determinar si se alcanzan o no las competencias demandadas a un estudiante en la elaboración del TFE.</t>
  </si>
  <si>
    <t>El tribunal debe especificar el nivel alcanzado por el estudiante en todas las categorías evaluadas.</t>
  </si>
  <si>
    <t>El tribunal tiene que decidir entre uno de los cuatro niveles propuestos en la rúbrica. La puntuación equivalente al nivel se calcula automaticamente en función del peso otorgado a cada categoría.</t>
  </si>
  <si>
    <t>La decisión sobre qué nivel es el adecuado debe realizarse de acuerdo con las especificaciones establecidas en la rúbrica.</t>
  </si>
  <si>
    <t>Una vez calculadas las puntuaciones deben copiarse en el acta los resultados de las tres dimensiones generales evaluadas (Estructura, Contenido y exposición), así como la nota global.</t>
  </si>
  <si>
    <t>La superación de la fase de defensa será condición indispensable para poder aprobar la asignatura de TFE, requiriéndose alcanzar como mínimo el 50% de la puntuación que la rúbrica asigne al acto de defensa (apartado exposición).</t>
  </si>
  <si>
    <t>CRITERIOS FORMATO</t>
  </si>
  <si>
    <t>NO</t>
  </si>
  <si>
    <t>CRITERIOS CONTENIDO TFE SIG</t>
  </si>
  <si>
    <t>Extensión comprendida entre las 60 y 100 páginas (sin incluir portada, índices y anexos)</t>
  </si>
  <si>
    <t>Justificación</t>
  </si>
  <si>
    <t>Introducción</t>
  </si>
  <si>
    <t>Objetivos generales y específicos</t>
  </si>
  <si>
    <t>Análisis del contexto</t>
  </si>
  <si>
    <t>Identificación de las partes interesadas</t>
  </si>
  <si>
    <t>Manual del Sistema</t>
  </si>
  <si>
    <t>Procedimientos exigidos mínimos</t>
  </si>
  <si>
    <t>Fases para la implantación del sistema</t>
  </si>
  <si>
    <t>Integración de los sistemas</t>
  </si>
  <si>
    <t>Política y procedimiento integrado</t>
  </si>
  <si>
    <t>Resultados obtenidos</t>
  </si>
  <si>
    <t>Conclusiones</t>
  </si>
  <si>
    <t>Referencias Bibliográficas</t>
  </si>
  <si>
    <t>MARCAR la/s casilla/s en la/s que no se cumpla el requisito formal correspondiente</t>
  </si>
  <si>
    <t>MARCAR la/s casilla/s cuando el TFM NO contemple el apartado correspondiente</t>
  </si>
  <si>
    <t>INDICADORES</t>
  </si>
  <si>
    <t>NIVEL DE LOGRO</t>
  </si>
  <si>
    <t>Selecciona el nivel</t>
  </si>
  <si>
    <t>Nivel 1 (suspenso)</t>
  </si>
  <si>
    <t>Nivel 2 (aprobado)</t>
  </si>
  <si>
    <t>Nivel 3 (notable)</t>
  </si>
  <si>
    <t>Nivel 4 (sobresaliente)</t>
  </si>
  <si>
    <t>Nivel</t>
  </si>
  <si>
    <t>Puntuación</t>
  </si>
  <si>
    <t>Nivel 1</t>
  </si>
  <si>
    <t>Nivel 2</t>
  </si>
  <si>
    <t>Nivel 3</t>
  </si>
  <si>
    <t>Nivel 4</t>
  </si>
  <si>
    <t>PUNTUACIÓN TOTAL EN ESTRUCTURA</t>
  </si>
  <si>
    <t>PUNTUACIÓN TOTAL EN CONTENIDOS</t>
  </si>
  <si>
    <t>PUNTUACIÓN TOTAL EN EXPOSICIÓN</t>
  </si>
  <si>
    <t>TOTAL=</t>
  </si>
  <si>
    <t>Rúbrica para la evaluación de TFM de DevOps</t>
  </si>
  <si>
    <r>
      <t xml:space="preserve">Formato (5 %) 
</t>
    </r>
    <r>
      <rPr>
        <sz val="11"/>
        <color rgb="FF000000"/>
        <rFont val="Calibri"/>
        <family val="2"/>
        <charset val="1"/>
      </rPr>
      <t>Estilo formal / académico</t>
    </r>
  </si>
  <si>
    <t>Estructura
(20 %)</t>
  </si>
  <si>
    <r>
      <t xml:space="preserve">Lenguaje (5 %)                             </t>
    </r>
    <r>
      <rPr>
        <sz val="11"/>
        <color rgb="FF000000"/>
        <rFont val="Calibri"/>
        <family val="2"/>
        <charset val="1"/>
      </rPr>
      <t>Estilo formal / académico</t>
    </r>
  </si>
  <si>
    <t>Estructura / apartados
(10 %)</t>
  </si>
  <si>
    <t>Aspecto descuidado.
Hay más de dos errores de formato en las
tablas e imágenes (numeración, título, fuente,
etc., según criterios APA).
Hay errores en tres de los criterios de formato establecido.</t>
  </si>
  <si>
    <t>Hay al menos dos errores de formato en las
tablas e imágenes (numeración, título, fuente,
etc.), según criterios APA.
Hay errores en dos de los criterios de formato establecido.</t>
  </si>
  <si>
    <t>Hay solo un error de formato en las tablas
e imágenes (numeración, título, fuente, etc.),
según criterios APA.
Hay errores en uno de los criterios de
formato establecidos.</t>
  </si>
  <si>
    <t>Formato acorde con los requisitos.</t>
  </si>
  <si>
    <t>Uso continuo de la primera persona para redactar.
Partes del texto con redacción incomprensible.
Muchas faltas de ortografía y lenguaje coloquial.</t>
  </si>
  <si>
    <t>El trabajo tiene pocas faltas de ortografía, gramática o puntuación.
Puede mejorarse el estilo (utiliza la primera persona en alguna ocasión).</t>
  </si>
  <si>
    <t>Podría mejorarse el estilo o la redacción.
Se adecúa la forma de expresión habitual de un trabajo académico: sin lenguaje coloquial, aunque hay algún cambio de impersonal a plural mayestático.</t>
  </si>
  <si>
    <t>Formato y estilo de redacción elegante y sin errores que facilita la lectura. 
Se adecúa la forma de expresión habitual en el ámbito académico: sin lenguaje coloquial y utiliza siempre el impersonal o el plural mayestático.</t>
  </si>
  <si>
    <t xml:space="preserve">Los apartados están mal estructurados.
No hay coherencia ni relación entre los apartados.                                                                                     </t>
  </si>
  <si>
    <t>Podría mejorarse la estructura de los apartados.
Hay coherencia, pero falta cohesión entre los apartados.</t>
  </si>
  <si>
    <t>Los apartados están bien estructurados, pero falta continuidad entre ellos.</t>
  </si>
  <si>
    <t>Existe coherencia y un desarrollo lógico y continuo entre apartados.</t>
  </si>
  <si>
    <t>Índice, resumen, tablas e imágenes
(2 %)</t>
  </si>
  <si>
    <t>Algunas palabras clave son apropiadas, pero pueden seleccionarse otras más adecuadas.
Resumen muy extenso o muy breve.
El título refleja el tema del trabajo.
Las tablas e imágenes están poco elaboradas o no aportan información relevante o su título no refleja bien el contenido de estas.</t>
  </si>
  <si>
    <t xml:space="preserve">El resumen no refleja el contenido del trabajo. No sigue criterio OMRC (Objetivos-Metodología-Resultados-Conclusiones).
Las palabras clave no son representativas del trabajo.
El título no refleja el tema del trabajo.
Más de la mitad de las tablas e imágenes no se explican ni se justifican.   </t>
  </si>
  <si>
    <t>Las palabras clave son adecuadas.
Resumen con la extensión correcta (150 palabras máximo), pero falta información de los apartados principales (OMRC).
El título refleja el tema del trabajo.
Alguna de las tablas e imágenes no aporta información relevante.
La mayor parte de las tablas e imágenes están explicadas y justificadas.</t>
  </si>
  <si>
    <t>El resumen  presenta la información necesaria (OMRC) y tiene la extensión adecuada.
Todas las tablas e imágenes aportan información relevante y están debidamente justificadas y explicadas.</t>
  </si>
  <si>
    <t>Información documentada
(10 %)</t>
  </si>
  <si>
    <t xml:space="preserve">Contexto de la organización (5 %)
</t>
  </si>
  <si>
    <t>Contenidos
(50 %)</t>
  </si>
  <si>
    <t>Comunicación (verbal y no verbal) en el vídeo
(8 %)</t>
  </si>
  <si>
    <t>Exposición
(30 %)</t>
  </si>
  <si>
    <t>Dominio del contenido
(8 %)</t>
  </si>
  <si>
    <t>Estructura y formato de la presentación
(4 %)</t>
  </si>
  <si>
    <t>Presentación del TFM / Exposición en vídeo
(10 %)</t>
  </si>
  <si>
    <t>Excesivo nerviosismo, que le impide expresar los contenidos.
No mira a la cámara.
Falta de educación en el trato.</t>
  </si>
  <si>
    <t xml:space="preserve">Expresa las ideas a pesar de los nervios.
</t>
  </si>
  <si>
    <t>Se expresa con claridad.
Mira a cámara.
Puede mejorar el énfasis gestual.</t>
  </si>
  <si>
    <t>Se muestra tranquilo y confiado.
Se expresa con claridad.
Se dirige a cámara. 
Utiliza gestos para enfatizar los contenidos importantes, domina la comunicación no verbal.</t>
  </si>
  <si>
    <t>Lee el contenido de un papel, no utiliza las diapositivas.
No contextualiza el trabajo.
Se pierde repetidamente; no sabe de lo que está hablando.
No demuestra conocimiento sobre el contenido de su trabajo.</t>
  </si>
  <si>
    <t xml:space="preserve">Utiliza las diapositivas pero también emplea un papel, sin llegar a estar continuamente leyendo.
Se ha perdido alguna vez, pero ha sido posible seguir el hilo argumental.
</t>
  </si>
  <si>
    <t>Utiliza las diapositivas y, en pocas ocasiones, se apoya en un papel.</t>
  </si>
  <si>
    <t>Realiza la exposición utilizando las diapositivas y demás elementos solo como apoyo.
Demuestra interés y entusiasmo cuando habla del tema.</t>
  </si>
  <si>
    <t>Presentación sin formato ni estilo homogéneo.
No tiene una estructura definida.
La presentación tiene faltas de ortografía graves.</t>
  </si>
  <si>
    <t>Presentación con un formato simple (solo incluye texto, sin diagramas, ni figuras).
Hay un número excesivo de diapositivas-imágenes.
Alguna diapositiva-imagen contiene demasiada información.</t>
  </si>
  <si>
    <t>Presentación con formato adecuado.
Incluye figuras o diagramas además del texto.
Podría reducirse el número de diapositivas.
La cantidad de información de las diapositiva es adecuada.
El uso de las animaciones o videos no es adecuado.</t>
  </si>
  <si>
    <t>Presentación con formato y longitud adecuadas.
La cantidad de información de las diapositiva es adecuada.
Utiliza figuras o diagramas que facilitan el discurso y ayudan a la comprensión.
Incluye animaciones y vídeos (si fuera pertinente).</t>
  </si>
  <si>
    <t>El discurso no tiene orden ni estructura, solo presenta ideas poco coherentes.
No queda claro qué ha hecho en el TFM.
No hay coherencia entre la presentación y el contenido del TFM.
No ha conseguido captar la atención de la audiencia.
No se ajusta al tiempo establecido.                                                    Se descubre que la autoría del TFM no es del alumno.</t>
  </si>
  <si>
    <t>Discurso ordenado, pero le falta claridad.
Algunos apartados están mejor presentados que otros.
Hay coherencia entre la presentación y el contenido del TFM, pero alguno de los apartados está poco trabajado.
Se ajusta al tiempo establecido.
Puede mejorar la capacidad de síntesis.</t>
  </si>
  <si>
    <t>Expone las ideas de forma clara y ordenada.
La comunicación es fluida.
Hay coherencia entre la presentación y el contenido del TFM.
Se ajusta al tiempo establecido pero puede mejorarse algún apartado.
Puede mejorar la capacidad de síntesis.</t>
  </si>
  <si>
    <t>Expone las ideas de forma clara y ordenada.
Demuestra capacidad de síntesis.
La comunicación es fluida.
Hay coherencia entre la presentación y el contenido del TFM.
Se ajusta al tiempo establecido. 
Ha conseguido captar la atención de la audiencia durante toda la presentación.</t>
  </si>
  <si>
    <t>Referencias bibliográficas
(3 %)</t>
  </si>
  <si>
    <t>La mayor parte de las citas en el texto no aparecen en las referencias bibliográficas y a la inversa. 
No utiliza normativa APA para citar.</t>
  </si>
  <si>
    <t>En la lista de referencias bibliográficas falta alguna de las referencias citadas en el texto (máx de 3).
Utiliza normativa APA, pero de forma incorrecta.</t>
  </si>
  <si>
    <t>Todas las citas del texto se encuentran en la lista de referencias. 
Utiliza normativa APA, pero existen algunos errores.</t>
  </si>
  <si>
    <t>Todas las citas del texto se encuentran la lista de referencias. 
Se emplean normas APA y no hay errores.</t>
  </si>
  <si>
    <t>Las conclusiones no responden a los objetivos 
planteados o no son consecuencia de la
investigación desarrollada.
No hay prospectiva ni limitaciones ni incluye la posibilidad real de implantación en la empresa.</t>
  </si>
  <si>
    <t xml:space="preserve">Las conclusiones no responden a todos lo
objetivos establecidos. 
Son consecuencia de la investigación desarrollada, pero les falta originalidad. 
Faltan la prospectiva o limitaciones del trabajo.
No incluyen una reflexión sobre la mejora que el trabajo aporta a la empresa, pero sí hablan de las posibilidades reales de implantación.
</t>
  </si>
  <si>
    <t>Las conclusiones incluyen limitaciones y prospectiva coherente y fundamentada.
Se incluye una reflexión sobre la mejora que el trabajo aporta a la empresa.
Cumple todos los demás puntos
mencionados.</t>
  </si>
  <si>
    <t>Conclusiones, limitaciones y prospectiva
(7 %)</t>
  </si>
  <si>
    <t>Fases para la implantación e integración de sistemas
(15 %)</t>
  </si>
  <si>
    <t>Las fases para la implantación son teóricas. No hay cronograma. 
La propuesta de integración es teórica, no se valoran los aspectos recogidos en la norma de integración.
No hay política ni procedimiento integrado.</t>
  </si>
  <si>
    <t>Se definen las fases para la implantación de manera general. 
Existe cronograma, aunque los plazos no son correctos.
Hay errores en la aplicación de la norma de integración .
Hay política y procedimiento integrado, pero continenen errores.</t>
  </si>
  <si>
    <r>
      <t xml:space="preserve">Hay una descripción de las fases para la implentación y cronograma, aunque existen pequeñas deficiencias.
Se aplica correctamente la norma de integración, pero cabría concretar más el cómo desarrollar el proceso de integración. 
</t>
    </r>
    <r>
      <rPr>
        <sz val="10"/>
        <color rgb="FF000000"/>
        <rFont val="Calibri"/>
        <family val="2"/>
      </rPr>
      <t xml:space="preserve">La política y procedimiento integrados solo presentan pequeños detalles por mejorar.
</t>
    </r>
  </si>
  <si>
    <r>
      <t xml:space="preserve">Descripción correcta de las fases de implementación y cronograma correcto.
Aplicación correcta de la norma de integración y descripción clara del proceso de integración.
</t>
    </r>
    <r>
      <rPr>
        <sz val="10"/>
        <color rgb="FF000000"/>
        <rFont val="Calibri"/>
        <family val="2"/>
      </rPr>
      <t>La política y procedimiento integrados están correctos y bien desarrollados.</t>
    </r>
  </si>
  <si>
    <t xml:space="preserve">No se elabora la política del SG o alguno de los documentos-procedimientos exigidos dentro del contenido mínimo. 
Los procedimientos son muy generales o no están bien desarrollados. 
No incluye formatos. </t>
  </si>
  <si>
    <t>Hay una política, pero no cumple con todos los requisitos establecidos.
Los objetivos del sistema planteados tienen errores o falta información en su planificación.
Existe control documental, pero el manual o los procedimientos son generales o poco desarrollados. 
Los formatos no están identificados.</t>
  </si>
  <si>
    <t xml:space="preserve">La política muestra alguna pequeña carencia.
Alguno de los objetivos definidos no es correcto.
Existe control documental y el manual y los procedimientos están bien desarrollados, pero siguen siendo algo generales. </t>
  </si>
  <si>
    <t xml:space="preserve">Política bien desarrollada y que cumple todos los requisitos establecidos.
Objetivos y planificación para lograrlos correctos.
Manual y procedimientos bien desarrollados y concretos de la organización donde se aplica el TFM. </t>
  </si>
  <si>
    <t>Justificación/Introducción/
objetivos (8 %)
- Detectar plagio en un TFM será motivo de suspenso.</t>
  </si>
  <si>
    <t xml:space="preserve">La presentación y justificación del tema de estudio son muy deficientes.
El marco teórico no está suficientemente desarrollado o  sustentado en fuentes primarias.
Los objetivos-hipótesis están mal formulados; solo tiene objetivo general, sin específicos; no están relacionados con el TFM.
No hay coherencia entre el tema elegido y las hipótesis planteadas.                                                                                            </t>
  </si>
  <si>
    <t xml:space="preserve">Presenta el tema / problema, pero falta justificación.
El marco teórico trata aspectos relacionados con la línea del TFM aunque podría mejorarse.
       </t>
  </si>
  <si>
    <t>El tema está planteado de forma clara y justificada, aunque puede mejorarse (no están suficientemente explícitas las razones que justifican la investigación).
El marco teórico trata aspectos relacionados con la línea del TFM, pero no con los objetivos planteados.</t>
  </si>
  <si>
    <t xml:space="preserve">Tema bien formulado y justificado.
El marco teórico está relacionado con el tema y los objetivos y sustentado por fuentes relevantes y primarias.
Las hipótesis son correctas y coherentes con el tema; son alcanzables y realistas.                                                                                                 </t>
  </si>
  <si>
    <t>La descripción de la organización o su interacción con el entorno no es suficiente. 
No hay identificación de las partes interesadas o sus necesidades y expectativas de las partes interesadas.
El alcance no está bien definido o no es correcto.</t>
  </si>
  <si>
    <t>La organización se describe, pero falta información sobre su interacción con el entorno. La matriz DAFO no está bien desarrollada.
Hay identificación de las partes interesadas pero no se identifican correctamente sus necesidades o expectativas.
El alcance está definido, pero no se corresponde con lo que se desarrolla después.</t>
  </si>
  <si>
    <t>La organización se describe, así como su interacción con el entorno. La matriz DAFO se desarrolla pero hay pequeños errores en la identificación de las debilidades, amenazas, fortalezas y oportunidades.
Hay identificación de las partes interesadas  y sus necesidades y expectativas, pero con pequeños errores en estas.
El alcance está bien definido, pero se podría concretar más.</t>
  </si>
  <si>
    <t>Se evidencia buen conocimiento de la organización y su interacción con el entorno.
Hay una buena identificación de las partes interesadas y sus necesidades y expectativas.
El alcance es coherente con el sistema desarrollado.</t>
  </si>
  <si>
    <t>Las conclusiones permiten conocer si se han conseguido los objetivos.
Son consecuencia de la investigación / trabajo desarrollado.
Son originales y se expresan con terminología propia.
Incluyen limitaciones y prospectiva, aunque pueden desarrollarse más.
No incluyen una reflexión sobre la mejora que el trabajo aporta a la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</si>
</sst>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family val="2"/>
      <charset val="1"/>
    </font>
    <font>
      <b/>
      <sz val="11"/>
      <color rgb="FFFFFFFF"/>
      <name val="Calibri"/>
      <family val="2"/>
      <charset val="1"/>
    </font>
    <font>
      <sz val="11"/>
      <color rgb="FFFFFFFF"/>
      <name val="Calibri"/>
      <family val="2"/>
      <charset val="1"/>
    </font>
    <font>
      <b/>
      <sz val="11"/>
      <color rgb="FF000000"/>
      <name val="Calibri"/>
      <family val="2"/>
      <charset val="1"/>
    </font>
    <font>
      <b/>
      <sz val="11"/>
      <color rgb="FFC00000"/>
      <name val="Calibri"/>
      <family val="2"/>
      <charset val="1"/>
    </font>
    <font>
      <sz val="11"/>
      <color rgb="FFC00000"/>
      <name val="Calibri"/>
      <family val="2"/>
      <charset val="1"/>
    </font>
    <font>
      <b/>
      <sz val="11"/>
      <color rgb="FF002060"/>
      <name val="Calibri"/>
      <family val="2"/>
      <charset val="1"/>
    </font>
    <font>
      <b/>
      <sz val="11"/>
      <color rgb="FF632523"/>
      <name val="Calibri"/>
      <family val="2"/>
      <charset val="1"/>
    </font>
    <font>
      <b/>
      <sz val="10"/>
      <color rgb="FF000000"/>
      <name val="Calibri"/>
      <family val="2"/>
      <charset val="1"/>
    </font>
    <font>
      <sz val="10"/>
      <color rgb="FF000000"/>
      <name val="Calibri"/>
      <family val="2"/>
      <charset val="1"/>
    </font>
    <font>
      <b/>
      <sz val="14"/>
      <color rgb="FF000000"/>
      <name val="Calibri"/>
      <family val="2"/>
      <charset val="1"/>
    </font>
    <font>
      <b/>
      <sz val="16"/>
      <color rgb="FF000000"/>
      <name val="Calibri"/>
      <family val="2"/>
      <charset val="1"/>
    </font>
    <font>
      <sz val="10"/>
      <color rgb="FF000000"/>
      <name val="Calibri"/>
      <family val="2"/>
    </font>
    <font>
      <sz val="11"/>
      <color rgb="FF000000"/>
      <name val="Calibri"/>
      <family val="2"/>
      <charset val="1"/>
    </font>
    <font>
      <sz val="8"/>
      <name val="Calibri"/>
      <family val="2"/>
      <charset val="1"/>
    </font>
    <font>
      <b/>
      <sz val="10"/>
      <color rgb="FF000000"/>
      <name val="Calibri"/>
      <family val="2"/>
    </font>
  </fonts>
  <fills count="14">
    <fill>
      <patternFill patternType="none"/>
    </fill>
    <fill>
      <patternFill patternType="gray125"/>
    </fill>
    <fill>
      <patternFill patternType="solid">
        <fgColor rgb="FF4F81BD"/>
        <bgColor rgb="FF558ED5"/>
      </patternFill>
    </fill>
    <fill>
      <patternFill patternType="solid">
        <fgColor rgb="FF95B3D7"/>
        <bgColor rgb="FF8EB4E3"/>
      </patternFill>
    </fill>
    <fill>
      <patternFill patternType="solid">
        <fgColor rgb="FFB9CDE5"/>
        <bgColor rgb="FFC6D9F1"/>
      </patternFill>
    </fill>
    <fill>
      <patternFill patternType="solid">
        <fgColor rgb="FF9BBB59"/>
        <bgColor rgb="FF969696"/>
      </patternFill>
    </fill>
    <fill>
      <patternFill patternType="solid">
        <fgColor rgb="FFD99694"/>
        <bgColor rgb="FFFF99CC"/>
      </patternFill>
    </fill>
    <fill>
      <patternFill patternType="solid">
        <fgColor rgb="FFDCE6F2"/>
        <bgColor rgb="FFC6D9F1"/>
      </patternFill>
    </fill>
    <fill>
      <patternFill patternType="solid">
        <fgColor rgb="FFE6B9B8"/>
        <bgColor rgb="FFFF99CC"/>
      </patternFill>
    </fill>
    <fill>
      <patternFill patternType="solid">
        <fgColor rgb="FFF2DCDB"/>
        <bgColor rgb="FFDCE6F2"/>
      </patternFill>
    </fill>
    <fill>
      <patternFill patternType="solid">
        <fgColor rgb="FF17375E"/>
        <bgColor rgb="FF002060"/>
      </patternFill>
    </fill>
    <fill>
      <patternFill patternType="solid">
        <fgColor rgb="FF558ED5"/>
        <bgColor rgb="FF4F81BD"/>
      </patternFill>
    </fill>
    <fill>
      <patternFill patternType="solid">
        <fgColor rgb="FF8EB4E3"/>
        <bgColor rgb="FF95B3D7"/>
      </patternFill>
    </fill>
    <fill>
      <patternFill patternType="solid">
        <fgColor rgb="FFC6D9F1"/>
        <bgColor rgb="FFB9CDE5"/>
      </patternFill>
    </fill>
  </fills>
  <borders count="19">
    <border>
      <left/>
      <right/>
      <top/>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medium">
        <color auto="1"/>
      </top>
      <bottom/>
      <diagonal/>
    </border>
    <border>
      <left/>
      <right style="thin">
        <color auto="1"/>
      </right>
      <top/>
      <bottom/>
      <diagonal/>
    </border>
    <border>
      <left/>
      <right style="medium">
        <color auto="1"/>
      </right>
      <top/>
      <bottom style="medium">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5">
    <xf numFmtId="0" fontId="0" fillId="0" borderId="0"/>
    <xf numFmtId="0" fontId="2" fillId="2" borderId="0" applyBorder="0" applyProtection="0"/>
    <xf numFmtId="0" fontId="2" fillId="3" borderId="0" applyBorder="0" applyProtection="0"/>
    <xf numFmtId="0" fontId="13" fillId="4" borderId="0" applyBorder="0" applyProtection="0"/>
    <xf numFmtId="0" fontId="2" fillId="5" borderId="0" applyBorder="0" applyProtection="0"/>
  </cellStyleXfs>
  <cellXfs count="62">
    <xf numFmtId="0" fontId="0" fillId="0" borderId="0" xfId="0"/>
    <xf numFmtId="0" fontId="1" fillId="2" borderId="1" xfId="1" applyFont="1" applyBorder="1" applyProtection="1"/>
    <xf numFmtId="0" fontId="1" fillId="2" borderId="2" xfId="1" applyFont="1" applyBorder="1" applyProtection="1"/>
    <xf numFmtId="0" fontId="13" fillId="4" borderId="0" xfId="3" applyBorder="1" applyAlignment="1" applyProtection="1">
      <alignment horizontal="left" vertical="center"/>
    </xf>
    <xf numFmtId="0" fontId="3" fillId="3" borderId="0" xfId="0" applyFont="1" applyFill="1"/>
    <xf numFmtId="0" fontId="4" fillId="3" borderId="0" xfId="0" applyFont="1" applyFill="1" applyAlignment="1">
      <alignment horizontal="center"/>
    </xf>
    <xf numFmtId="0" fontId="3" fillId="6" borderId="0" xfId="0" applyFont="1" applyFill="1"/>
    <xf numFmtId="0" fontId="4" fillId="6" borderId="0" xfId="0" applyFont="1" applyFill="1" applyAlignment="1">
      <alignment horizontal="center"/>
    </xf>
    <xf numFmtId="0" fontId="0" fillId="8" borderId="0" xfId="0" applyFill="1"/>
    <xf numFmtId="0" fontId="5" fillId="9" borderId="0" xfId="0" applyFont="1" applyFill="1"/>
    <xf numFmtId="0" fontId="0" fillId="0" borderId="0" xfId="0" applyAlignment="1">
      <alignment horizontal="center"/>
    </xf>
    <xf numFmtId="0" fontId="5" fillId="0" borderId="0" xfId="0" applyFont="1"/>
    <xf numFmtId="0" fontId="6" fillId="4" borderId="0" xfId="0" applyFont="1" applyFill="1"/>
    <xf numFmtId="0" fontId="1" fillId="3" borderId="4" xfId="2" applyFont="1" applyBorder="1" applyProtection="1"/>
    <xf numFmtId="0" fontId="1" fillId="3" borderId="9" xfId="2" applyFont="1" applyBorder="1" applyProtection="1"/>
    <xf numFmtId="0" fontId="1" fillId="3" borderId="10" xfId="2" applyFont="1" applyBorder="1" applyProtection="1"/>
    <xf numFmtId="0" fontId="8" fillId="11" borderId="13" xfId="0" applyFont="1" applyFill="1" applyBorder="1" applyAlignment="1">
      <alignment vertical="center" wrapText="1"/>
    </xf>
    <xf numFmtId="0" fontId="9" fillId="0" borderId="13" xfId="0" applyFont="1" applyBorder="1" applyAlignment="1">
      <alignment horizontal="left" vertical="center" wrapText="1"/>
    </xf>
    <xf numFmtId="0" fontId="3" fillId="7" borderId="10" xfId="0" applyFont="1" applyFill="1" applyBorder="1" applyAlignment="1">
      <alignment horizontal="center" vertical="center"/>
    </xf>
    <xf numFmtId="0" fontId="9" fillId="0" borderId="12" xfId="0" applyFont="1" applyBorder="1" applyAlignment="1">
      <alignment horizontal="left" vertical="center" wrapText="1"/>
    </xf>
    <xf numFmtId="0" fontId="3" fillId="7" borderId="12" xfId="0" applyFont="1" applyFill="1" applyBorder="1" applyAlignment="1">
      <alignment horizontal="center" vertical="center"/>
    </xf>
    <xf numFmtId="0" fontId="8" fillId="12" borderId="13" xfId="0" applyFont="1" applyFill="1" applyBorder="1" applyAlignment="1">
      <alignment vertical="center" wrapText="1"/>
    </xf>
    <xf numFmtId="0" fontId="8" fillId="12" borderId="9" xfId="0" applyFont="1" applyFill="1" applyBorder="1" applyAlignment="1">
      <alignmen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8" fillId="13" borderId="13" xfId="0" applyFont="1" applyFill="1" applyBorder="1" applyAlignment="1">
      <alignment vertical="center" wrapText="1"/>
    </xf>
    <xf numFmtId="0" fontId="8" fillId="13" borderId="9" xfId="0" applyFont="1" applyFill="1" applyBorder="1" applyAlignment="1">
      <alignment vertical="center" wrapText="1"/>
    </xf>
    <xf numFmtId="0" fontId="3" fillId="7" borderId="16" xfId="0" applyFont="1" applyFill="1" applyBorder="1" applyAlignment="1">
      <alignment horizontal="center" vertical="center"/>
    </xf>
    <xf numFmtId="164" fontId="11" fillId="7" borderId="18" xfId="0" applyNumberFormat="1" applyFont="1" applyFill="1" applyBorder="1" applyAlignment="1">
      <alignment horizontal="center" vertical="center"/>
    </xf>
    <xf numFmtId="0" fontId="1" fillId="3" borderId="4" xfId="2" applyFont="1" applyBorder="1" applyAlignment="1" applyProtection="1">
      <alignment horizontal="center"/>
    </xf>
    <xf numFmtId="0" fontId="1" fillId="3" borderId="11" xfId="2" applyFont="1" applyBorder="1" applyAlignment="1" applyProtection="1">
      <alignment horizontal="center"/>
    </xf>
    <xf numFmtId="0" fontId="8" fillId="0" borderId="6"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1" fillId="0" borderId="17" xfId="0" applyFont="1" applyBorder="1" applyAlignment="1">
      <alignment horizontal="center" vertical="center"/>
    </xf>
    <xf numFmtId="0" fontId="12" fillId="0" borderId="13" xfId="0" applyFont="1" applyBorder="1" applyAlignment="1">
      <alignment horizontal="left" vertical="center" wrapText="1"/>
    </xf>
    <xf numFmtId="0" fontId="3" fillId="4" borderId="0" xfId="3" applyFont="1" applyBorder="1" applyAlignment="1" applyProtection="1">
      <alignment horizontal="left" wrapText="1"/>
    </xf>
    <xf numFmtId="0" fontId="2" fillId="3" borderId="0" xfId="2" applyBorder="1" applyAlignment="1" applyProtection="1">
      <alignment horizontal="left"/>
    </xf>
    <xf numFmtId="0" fontId="0" fillId="4" borderId="0" xfId="0" applyFill="1" applyAlignment="1">
      <alignment horizontal="center" wrapText="1"/>
    </xf>
    <xf numFmtId="0" fontId="0" fillId="7" borderId="0" xfId="0" applyFill="1" applyAlignment="1">
      <alignment horizontal="center"/>
    </xf>
    <xf numFmtId="0" fontId="7" fillId="8" borderId="0" xfId="0" applyFont="1" applyFill="1" applyAlignment="1">
      <alignment horizontal="center"/>
    </xf>
    <xf numFmtId="0" fontId="8" fillId="12" borderId="12" xfId="0" applyFont="1" applyFill="1" applyBorder="1" applyAlignment="1">
      <alignment horizontal="center" vertical="center" wrapText="1"/>
    </xf>
    <xf numFmtId="0" fontId="10" fillId="12" borderId="14" xfId="0" applyFont="1" applyFill="1" applyBorder="1" applyAlignment="1">
      <alignment horizontal="center" vertical="center" textRotation="90" wrapText="1"/>
    </xf>
    <xf numFmtId="164" fontId="11" fillId="12" borderId="14" xfId="0" applyNumberFormat="1"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0" fillId="13" borderId="14" xfId="0" applyFont="1" applyFill="1" applyBorder="1" applyAlignment="1">
      <alignment horizontal="center" vertical="center" textRotation="90" wrapText="1"/>
    </xf>
    <xf numFmtId="164" fontId="11" fillId="13" borderId="12" xfId="0" applyNumberFormat="1" applyFont="1" applyFill="1" applyBorder="1" applyAlignment="1">
      <alignment horizontal="center" vertical="center" wrapText="1"/>
    </xf>
    <xf numFmtId="0" fontId="1" fillId="3" borderId="8" xfId="2" applyFont="1" applyBorder="1" applyAlignment="1" applyProtection="1">
      <alignment horizontal="center"/>
    </xf>
    <xf numFmtId="0" fontId="8" fillId="11" borderId="12" xfId="0" applyFont="1" applyFill="1" applyBorder="1" applyAlignment="1">
      <alignment horizontal="center" vertical="center" wrapText="1"/>
    </xf>
    <xf numFmtId="0" fontId="10" fillId="11" borderId="14" xfId="0" applyFont="1" applyFill="1" applyBorder="1" applyAlignment="1">
      <alignment horizontal="center" vertical="center" textRotation="90" wrapText="1"/>
    </xf>
    <xf numFmtId="164" fontId="11" fillId="11" borderId="12" xfId="0" applyNumberFormat="1" applyFont="1" applyFill="1" applyBorder="1" applyAlignment="1">
      <alignment horizontal="center" vertical="center" wrapText="1"/>
    </xf>
    <xf numFmtId="0" fontId="8" fillId="11" borderId="15" xfId="0" applyFont="1" applyFill="1" applyBorder="1" applyAlignment="1">
      <alignment horizontal="left" vertical="center" wrapText="1"/>
    </xf>
    <xf numFmtId="0" fontId="9" fillId="0" borderId="13" xfId="0" applyFont="1" applyBorder="1" applyAlignment="1">
      <alignment horizontal="left" vertical="center" wrapText="1"/>
    </xf>
    <xf numFmtId="0" fontId="9" fillId="0" borderId="12" xfId="0" applyFont="1" applyBorder="1" applyAlignment="1">
      <alignment horizontal="left" vertical="center" wrapText="1"/>
    </xf>
    <xf numFmtId="0" fontId="8" fillId="0" borderId="15" xfId="0" applyFont="1" applyBorder="1" applyAlignment="1" applyProtection="1">
      <alignment horizontal="center" vertical="center"/>
      <protection locked="0"/>
    </xf>
    <xf numFmtId="0" fontId="3" fillId="7" borderId="12" xfId="0" applyFont="1" applyFill="1" applyBorder="1" applyAlignment="1">
      <alignment horizontal="center" vertical="center"/>
    </xf>
    <xf numFmtId="0" fontId="2" fillId="3" borderId="3" xfId="2" applyBorder="1" applyAlignment="1" applyProtection="1">
      <alignment horizontal="left"/>
    </xf>
    <xf numFmtId="0" fontId="2" fillId="3" borderId="5" xfId="2" applyBorder="1" applyAlignment="1" applyProtection="1">
      <alignment horizontal="left"/>
    </xf>
    <xf numFmtId="0" fontId="1" fillId="10" borderId="6" xfId="4" applyFont="1" applyFill="1" applyBorder="1" applyAlignment="1" applyProtection="1">
      <alignment horizontal="center" vertical="center"/>
    </xf>
    <xf numFmtId="0" fontId="1" fillId="2" borderId="4" xfId="1" applyFont="1" applyBorder="1" applyAlignment="1" applyProtection="1">
      <alignment horizontal="center"/>
    </xf>
    <xf numFmtId="0" fontId="1" fillId="2" borderId="7" xfId="1" applyFont="1" applyBorder="1" applyAlignment="1" applyProtection="1">
      <alignment horizontal="center"/>
    </xf>
    <xf numFmtId="0" fontId="15" fillId="12" borderId="13" xfId="0" applyFont="1" applyFill="1" applyBorder="1" applyAlignment="1">
      <alignment vertical="center" wrapText="1"/>
    </xf>
  </cellXfs>
  <cellStyles count="5">
    <cellStyle name="Excel Built-in 40% - Accent1" xfId="3" xr:uid="{00000000-0005-0000-0000-000008000000}"/>
    <cellStyle name="Excel Built-in 60% - Accent1" xfId="2" xr:uid="{00000000-0005-0000-0000-000007000000}"/>
    <cellStyle name="Excel Built-in Accent1" xfId="1" xr:uid="{00000000-0005-0000-0000-000006000000}"/>
    <cellStyle name="Excel Built-in Accent3" xfId="4" xr:uid="{00000000-0005-0000-0000-000009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2060"/>
      <rgbColor rgb="FF808000"/>
      <rgbColor rgb="FF800080"/>
      <rgbColor rgb="FF008080"/>
      <rgbColor rgb="FFB9CDE5"/>
      <rgbColor rgb="FF558ED5"/>
      <rgbColor rgb="FF95B3D7"/>
      <rgbColor rgb="FF993366"/>
      <rgbColor rgb="FFF2DCDB"/>
      <rgbColor rgb="FFDCE6F2"/>
      <rgbColor rgb="FF660066"/>
      <rgbColor rgb="FFD99694"/>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E6B9B8"/>
      <rgbColor rgb="FF3366FF"/>
      <rgbColor rgb="FF33CCCC"/>
      <rgbColor rgb="FF9BBB59"/>
      <rgbColor rgb="FFFFCC00"/>
      <rgbColor rgb="FFFF9900"/>
      <rgbColor rgb="FFFF6600"/>
      <rgbColor rgb="FF4F81BD"/>
      <rgbColor rgb="FF969696"/>
      <rgbColor rgb="FF17375E"/>
      <rgbColor rgb="FF339966"/>
      <rgbColor rgb="FF003300"/>
      <rgbColor rgb="FF632523"/>
      <rgbColor rgb="FF993300"/>
      <rgbColor rgb="FF993366"/>
      <rgbColor rgb="FF333399"/>
      <rgbColor rgb="FF4031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753840</xdr:colOff>
      <xdr:row>1</xdr:row>
      <xdr:rowOff>8640</xdr:rowOff>
    </xdr:to>
    <xdr:pic>
      <xdr:nvPicPr>
        <xdr:cNvPr id="2" name="Picture 1" descr="new_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2378880" cy="589680"/>
        </a:xfrm>
        <a:prstGeom prst="rect">
          <a:avLst/>
        </a:prstGeom>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541080</xdr:colOff>
      <xdr:row>19</xdr:row>
      <xdr:rowOff>7560</xdr:rowOff>
    </xdr:from>
    <xdr:to>
      <xdr:col>3</xdr:col>
      <xdr:colOff>1140</xdr:colOff>
      <xdr:row>20</xdr:row>
      <xdr:rowOff>81000</xdr:rowOff>
    </xdr:to>
    <xdr:sp macro="" textlink="">
      <xdr:nvSpPr>
        <xdr:cNvPr id="2" name="1 CuadroTexto">
          <a:extLst>
            <a:ext uri="{FF2B5EF4-FFF2-40B4-BE49-F238E27FC236}">
              <a16:creationId xmlns:a16="http://schemas.microsoft.com/office/drawing/2014/main" id="{00000000-0008-0000-0100-000002000000}"/>
            </a:ext>
          </a:extLst>
        </xdr:cNvPr>
        <xdr:cNvSpPr/>
      </xdr:nvSpPr>
      <xdr:spPr>
        <a:xfrm>
          <a:off x="7146360" y="3413880"/>
          <a:ext cx="183960" cy="2638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3</xdr:col>
      <xdr:colOff>23040</xdr:colOff>
      <xdr:row>17</xdr:row>
      <xdr:rowOff>23040</xdr:rowOff>
    </xdr:from>
    <xdr:to>
      <xdr:col>6</xdr:col>
      <xdr:colOff>1890720</xdr:colOff>
      <xdr:row>23</xdr:row>
      <xdr:rowOff>18360</xdr:rowOff>
    </xdr:to>
    <xdr:sp macro="" textlink="">
      <xdr:nvSpPr>
        <xdr:cNvPr id="3" name="2 CuadroTexto">
          <a:extLst>
            <a:ext uri="{FF2B5EF4-FFF2-40B4-BE49-F238E27FC236}">
              <a16:creationId xmlns:a16="http://schemas.microsoft.com/office/drawing/2014/main" id="{00000000-0008-0000-0100-000003000000}"/>
            </a:ext>
          </a:extLst>
        </xdr:cNvPr>
        <xdr:cNvSpPr/>
      </xdr:nvSpPr>
      <xdr:spPr>
        <a:xfrm>
          <a:off x="7414920" y="3048120"/>
          <a:ext cx="7225200" cy="1138320"/>
        </a:xfrm>
        <a:prstGeom prst="rect">
          <a:avLst/>
        </a:prstGeom>
        <a:noFill/>
        <a:ln w="19050">
          <a:solidFill>
            <a:srgbClr val="604A7B"/>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s-ES" sz="1100" b="0" strike="noStrike" spc="-1">
              <a:solidFill>
                <a:srgbClr val="403152"/>
              </a:solidFill>
              <a:latin typeface="Calibri"/>
            </a:rPr>
            <a:t>En caso de marcar </a:t>
          </a:r>
          <a:r>
            <a:rPr lang="es-ES" sz="1200" b="1" strike="noStrike" spc="-1">
              <a:solidFill>
                <a:srgbClr val="403152"/>
              </a:solidFill>
              <a:latin typeface="Calibri"/>
            </a:rPr>
            <a:t>un </a:t>
          </a:r>
          <a:r>
            <a:rPr lang="es-ES" sz="1200" b="1" strike="noStrike" spc="-1">
              <a:solidFill>
                <a:srgbClr val="FF0000"/>
              </a:solidFill>
              <a:latin typeface="Calibri"/>
            </a:rPr>
            <a:t>NO</a:t>
          </a:r>
          <a:r>
            <a:rPr lang="es-ES" sz="1200" b="1" strike="noStrike" spc="-1">
              <a:solidFill>
                <a:srgbClr val="403152"/>
              </a:solidFill>
              <a:latin typeface="Calibri"/>
            </a:rPr>
            <a:t> en </a:t>
          </a:r>
          <a:r>
            <a:rPr lang="es-ES" sz="1200" b="1" strike="noStrike" spc="-1">
              <a:solidFill>
                <a:srgbClr val="FF0000"/>
              </a:solidFill>
              <a:latin typeface="Calibri"/>
            </a:rPr>
            <a:t>al menos uno </a:t>
          </a:r>
          <a:r>
            <a:rPr lang="es-ES" sz="1200" b="1" strike="noStrike" spc="-1">
              <a:solidFill>
                <a:srgbClr val="403152"/>
              </a:solidFill>
              <a:latin typeface="Calibri"/>
            </a:rPr>
            <a:t>de los criterios de contenido</a:t>
          </a:r>
          <a:r>
            <a:rPr lang="es-ES" sz="1100" b="0" strike="noStrike" spc="-1">
              <a:solidFill>
                <a:srgbClr val="403152"/>
              </a:solidFill>
              <a:latin typeface="Calibri"/>
            </a:rPr>
            <a:t>, la calificación del TFM se valorará exclusivamente bajo criterio de defensa sin tener en cuenta la rúbrica. Se valorará el  dominio del tema presentado por parte de la alumna, la mentalidad preventiva o de sistemas y la calidad de las respuestas a las preguntas formuladas por el Tribunal.</a:t>
          </a:r>
          <a:endParaRPr lang="es-ES" sz="1100" b="0" strike="noStrike" spc="-1">
            <a:latin typeface="Times New Roman"/>
          </a:endParaRPr>
        </a:p>
        <a:p>
          <a:pPr>
            <a:lnSpc>
              <a:spcPct val="100000"/>
            </a:lnSpc>
          </a:pPr>
          <a:r>
            <a:rPr lang="es-ES" sz="1100" b="1" strike="noStrike" spc="-1">
              <a:solidFill>
                <a:srgbClr val="403152"/>
              </a:solidFill>
              <a:latin typeface="Calibri"/>
            </a:rPr>
            <a:t>La máxima calificación que se puede otorgar en este caso es de un</a:t>
          </a:r>
          <a:r>
            <a:rPr lang="es-ES" sz="1200" b="1" strike="noStrike" spc="-1">
              <a:solidFill>
                <a:srgbClr val="403152"/>
              </a:solidFill>
              <a:latin typeface="Calibri"/>
            </a:rPr>
            <a:t> </a:t>
          </a:r>
          <a:r>
            <a:rPr lang="es-ES" sz="1200" b="1" strike="noStrike" spc="-1">
              <a:solidFill>
                <a:srgbClr val="FF0000"/>
              </a:solidFill>
              <a:latin typeface="Calibri"/>
            </a:rPr>
            <a:t>5</a:t>
          </a:r>
          <a:r>
            <a:rPr lang="es-ES" sz="1100" b="0" strike="noStrike" spc="-1">
              <a:solidFill>
                <a:srgbClr val="403152"/>
              </a:solidFill>
              <a:latin typeface="Calibri"/>
            </a:rPr>
            <a:t>.</a:t>
          </a:r>
          <a:endParaRPr lang="es-ES" sz="1100" b="0" strike="noStrike" spc="-1">
            <a:latin typeface="Times New Roman"/>
          </a:endParaRPr>
        </a:p>
      </xdr:txBody>
    </xdr:sp>
    <xdr:clientData/>
  </xdr:twoCellAnchor>
  <xdr:twoCellAnchor editAs="oneCell">
    <xdr:from>
      <xdr:col>0</xdr:col>
      <xdr:colOff>0</xdr:colOff>
      <xdr:row>17</xdr:row>
      <xdr:rowOff>23040</xdr:rowOff>
    </xdr:from>
    <xdr:to>
      <xdr:col>1</xdr:col>
      <xdr:colOff>370080</xdr:colOff>
      <xdr:row>24</xdr:row>
      <xdr:rowOff>125280</xdr:rowOff>
    </xdr:to>
    <xdr:sp macro="" textlink="">
      <xdr:nvSpPr>
        <xdr:cNvPr id="4" name="3 CuadroTexto">
          <a:extLst>
            <a:ext uri="{FF2B5EF4-FFF2-40B4-BE49-F238E27FC236}">
              <a16:creationId xmlns:a16="http://schemas.microsoft.com/office/drawing/2014/main" id="{00000000-0008-0000-0100-000004000000}"/>
            </a:ext>
          </a:extLst>
        </xdr:cNvPr>
        <xdr:cNvSpPr/>
      </xdr:nvSpPr>
      <xdr:spPr>
        <a:xfrm>
          <a:off x="0" y="3048120"/>
          <a:ext cx="4980960" cy="1435680"/>
        </a:xfrm>
        <a:prstGeom prst="rect">
          <a:avLst/>
        </a:prstGeom>
        <a:noFill/>
        <a:ln w="19050">
          <a:solidFill>
            <a:srgbClr val="002060"/>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es-ES" sz="1100" b="0" strike="noStrike" spc="-1">
              <a:solidFill>
                <a:srgbClr val="002060"/>
              </a:solidFill>
              <a:latin typeface="Calibri"/>
            </a:rPr>
            <a:t>En caso de marcar </a:t>
          </a:r>
          <a:r>
            <a:rPr lang="es-ES" sz="1200" b="1" strike="noStrike" spc="-1">
              <a:solidFill>
                <a:srgbClr val="002060"/>
              </a:solidFill>
              <a:latin typeface="Calibri"/>
            </a:rPr>
            <a:t>un </a:t>
          </a:r>
          <a:r>
            <a:rPr lang="es-ES" sz="1200" b="1" strike="noStrike" spc="-1">
              <a:solidFill>
                <a:srgbClr val="FF0000"/>
              </a:solidFill>
              <a:latin typeface="Calibri"/>
            </a:rPr>
            <a:t>NO</a:t>
          </a:r>
          <a:r>
            <a:rPr lang="es-ES" sz="1200" b="1" strike="noStrike" spc="-1">
              <a:solidFill>
                <a:srgbClr val="002060"/>
              </a:solidFill>
              <a:latin typeface="Calibri"/>
            </a:rPr>
            <a:t> en UNO de los criterios de formato</a:t>
          </a:r>
          <a:r>
            <a:rPr lang="es-ES" sz="1100" b="0" strike="noStrike" spc="-1">
              <a:solidFill>
                <a:srgbClr val="002060"/>
              </a:solidFill>
              <a:latin typeface="Calibri"/>
            </a:rPr>
            <a:t>, la calificación del TFM  se valorará exclusivamente bajo criterio de defensa sin tener en cuenta la rúbrica. Se valorará el  dominio del tema presentado por parte de la alumna, la mentalidad preventiva o de sistemas y la calidad de las respuestas a las preguntas formuladas por el Tribunal.</a:t>
          </a:r>
          <a:endParaRPr lang="es-ES" sz="1100" b="0" strike="noStrike" spc="-1">
            <a:latin typeface="Times New Roman"/>
          </a:endParaRPr>
        </a:p>
        <a:p>
          <a:pPr>
            <a:lnSpc>
              <a:spcPct val="100000"/>
            </a:lnSpc>
          </a:pPr>
          <a:r>
            <a:rPr lang="es-ES" sz="1100" b="1" strike="noStrike" spc="-1">
              <a:solidFill>
                <a:srgbClr val="002060"/>
              </a:solidFill>
              <a:latin typeface="Calibri"/>
            </a:rPr>
            <a:t>La máxima calificación que se puede otorgar en este caso es de un</a:t>
          </a:r>
          <a:r>
            <a:rPr lang="es-ES" sz="1200" b="1" strike="noStrike" spc="-1">
              <a:solidFill>
                <a:srgbClr val="002060"/>
              </a:solidFill>
              <a:latin typeface="Calibri"/>
            </a:rPr>
            <a:t> </a:t>
          </a:r>
          <a:r>
            <a:rPr lang="es-ES" sz="1200" b="1" strike="noStrike" spc="-1">
              <a:solidFill>
                <a:srgbClr val="FF0000"/>
              </a:solidFill>
              <a:latin typeface="Calibri"/>
            </a:rPr>
            <a:t>6</a:t>
          </a:r>
          <a:r>
            <a:rPr lang="es-ES" sz="1100" b="0" strike="noStrike" spc="-1">
              <a:solidFill>
                <a:srgbClr val="002060"/>
              </a:solidFill>
              <a:latin typeface="Calibri"/>
            </a:rPr>
            <a:t>.</a:t>
          </a:r>
          <a:endParaRPr lang="es-ES" sz="11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49320</xdr:colOff>
      <xdr:row>0</xdr:row>
      <xdr:rowOff>0</xdr:rowOff>
    </xdr:from>
    <xdr:to>
      <xdr:col>9</xdr:col>
      <xdr:colOff>538920</xdr:colOff>
      <xdr:row>2</xdr:row>
      <xdr:rowOff>20520</xdr:rowOff>
    </xdr:to>
    <xdr:pic>
      <xdr:nvPicPr>
        <xdr:cNvPr id="4" name="Picture 1" descr="new_logo">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15711120" y="0"/>
          <a:ext cx="2572200" cy="411120"/>
        </a:xfrm>
        <a:prstGeom prst="rect">
          <a:avLst/>
        </a:prstGeom>
        <a:ln w="9525">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zoomScale="75" zoomScaleNormal="75" workbookViewId="0">
      <selection activeCell="N16" sqref="N16"/>
    </sheetView>
  </sheetViews>
  <sheetFormatPr baseColWidth="10" defaultColWidth="10.5703125" defaultRowHeight="15" x14ac:dyDescent="0.25"/>
  <cols>
    <col min="1" max="1" width="14.85546875" customWidth="1"/>
    <col min="2" max="2" width="3.42578125" customWidth="1"/>
  </cols>
  <sheetData>
    <row r="1" spans="1:9" ht="45.75" customHeight="1" x14ac:dyDescent="0.25"/>
    <row r="2" spans="1:9" x14ac:dyDescent="0.25">
      <c r="A2" s="1" t="s">
        <v>0</v>
      </c>
      <c r="B2" s="37" t="s">
        <v>1</v>
      </c>
      <c r="C2" s="37"/>
      <c r="D2" s="37"/>
      <c r="E2" s="37"/>
      <c r="F2" s="37"/>
      <c r="G2" s="37"/>
      <c r="H2" s="37"/>
      <c r="I2" s="37"/>
    </row>
    <row r="3" spans="1:9" x14ac:dyDescent="0.25">
      <c r="A3" s="2" t="s">
        <v>2</v>
      </c>
      <c r="B3" s="37" t="s">
        <v>3</v>
      </c>
      <c r="C3" s="37"/>
      <c r="D3" s="37"/>
      <c r="E3" s="37"/>
      <c r="F3" s="37"/>
      <c r="G3" s="37"/>
      <c r="H3" s="37"/>
      <c r="I3" s="37"/>
    </row>
    <row r="4" spans="1:9" ht="37.5" customHeight="1" x14ac:dyDescent="0.25">
      <c r="B4" s="3" t="s">
        <v>4</v>
      </c>
      <c r="C4" s="36" t="s">
        <v>5</v>
      </c>
      <c r="D4" s="36"/>
      <c r="E4" s="36"/>
      <c r="F4" s="36"/>
      <c r="G4" s="36"/>
      <c r="H4" s="36"/>
      <c r="I4" s="36"/>
    </row>
    <row r="5" spans="1:9" ht="37.5" customHeight="1" x14ac:dyDescent="0.25">
      <c r="B5" s="3" t="s">
        <v>4</v>
      </c>
      <c r="C5" s="36" t="s">
        <v>6</v>
      </c>
      <c r="D5" s="36"/>
      <c r="E5" s="36"/>
      <c r="F5" s="36"/>
      <c r="G5" s="36"/>
      <c r="H5" s="36"/>
      <c r="I5" s="36"/>
    </row>
    <row r="6" spans="1:9" ht="48" customHeight="1" x14ac:dyDescent="0.25">
      <c r="B6" s="3" t="s">
        <v>4</v>
      </c>
      <c r="C6" s="36" t="s">
        <v>7</v>
      </c>
      <c r="D6" s="36"/>
      <c r="E6" s="36"/>
      <c r="F6" s="36"/>
      <c r="G6" s="36"/>
      <c r="H6" s="36"/>
      <c r="I6" s="36"/>
    </row>
    <row r="7" spans="1:9" ht="37.5" customHeight="1" x14ac:dyDescent="0.25">
      <c r="B7" s="3" t="s">
        <v>4</v>
      </c>
      <c r="C7" s="36" t="s">
        <v>8</v>
      </c>
      <c r="D7" s="36"/>
      <c r="E7" s="36"/>
      <c r="F7" s="36"/>
      <c r="G7" s="36"/>
      <c r="H7" s="36"/>
      <c r="I7" s="36"/>
    </row>
    <row r="8" spans="1:9" ht="53.25" customHeight="1" x14ac:dyDescent="0.25">
      <c r="B8" s="3" t="s">
        <v>4</v>
      </c>
      <c r="C8" s="36" t="s">
        <v>9</v>
      </c>
      <c r="D8" s="36"/>
      <c r="E8" s="36"/>
      <c r="F8" s="36"/>
      <c r="G8" s="36"/>
      <c r="H8" s="36"/>
      <c r="I8" s="36"/>
    </row>
    <row r="9" spans="1:9" ht="51" customHeight="1" x14ac:dyDescent="0.25">
      <c r="B9" s="3" t="s">
        <v>4</v>
      </c>
      <c r="C9" s="36" t="s">
        <v>10</v>
      </c>
      <c r="D9" s="36"/>
      <c r="E9" s="36"/>
      <c r="F9" s="36"/>
      <c r="G9" s="36"/>
      <c r="H9" s="36"/>
      <c r="I9" s="36"/>
    </row>
  </sheetData>
  <mergeCells count="8">
    <mergeCell ref="C7:I7"/>
    <mergeCell ref="C8:I8"/>
    <mergeCell ref="C9:I9"/>
    <mergeCell ref="B2:I2"/>
    <mergeCell ref="B3:I3"/>
    <mergeCell ref="C4:I4"/>
    <mergeCell ref="C5:I5"/>
    <mergeCell ref="C6:I6"/>
  </mergeCells>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topLeftCell="B1" zoomScale="75" zoomScaleNormal="75" workbookViewId="0">
      <selection activeCell="D29" sqref="D29"/>
    </sheetView>
  </sheetViews>
  <sheetFormatPr baseColWidth="10" defaultColWidth="10.5703125" defaultRowHeight="15" x14ac:dyDescent="0.25"/>
  <cols>
    <col min="1" max="1" width="51.85546875" customWidth="1"/>
    <col min="2" max="2" width="22.42578125" customWidth="1"/>
    <col min="3" max="3" width="8.85546875" customWidth="1"/>
    <col min="4" max="4" width="37.5703125" customWidth="1"/>
    <col min="5" max="5" width="12.140625" customWidth="1"/>
    <col min="7" max="7" width="36" customWidth="1"/>
    <col min="9" max="9" width="40" customWidth="1"/>
  </cols>
  <sheetData>
    <row r="1" spans="1:9" x14ac:dyDescent="0.25">
      <c r="A1" s="4" t="s">
        <v>11</v>
      </c>
      <c r="B1" s="5" t="s">
        <v>12</v>
      </c>
      <c r="D1" s="6" t="s">
        <v>13</v>
      </c>
      <c r="E1" s="7" t="s">
        <v>12</v>
      </c>
    </row>
    <row r="2" spans="1:9" ht="13.9" customHeight="1" x14ac:dyDescent="0.25">
      <c r="A2" s="38" t="s">
        <v>14</v>
      </c>
      <c r="B2" s="39"/>
      <c r="D2" s="8" t="s">
        <v>15</v>
      </c>
      <c r="E2" s="9"/>
    </row>
    <row r="3" spans="1:9" x14ac:dyDescent="0.25">
      <c r="A3" s="38"/>
      <c r="B3" s="39"/>
      <c r="D3" s="8" t="s">
        <v>16</v>
      </c>
      <c r="E3" s="9"/>
    </row>
    <row r="4" spans="1:9" x14ac:dyDescent="0.25">
      <c r="D4" s="8" t="s">
        <v>17</v>
      </c>
      <c r="E4" s="9"/>
    </row>
    <row r="5" spans="1:9" x14ac:dyDescent="0.25">
      <c r="D5" s="8" t="s">
        <v>18</v>
      </c>
      <c r="E5" s="9"/>
    </row>
    <row r="6" spans="1:9" x14ac:dyDescent="0.25">
      <c r="D6" s="8" t="s">
        <v>19</v>
      </c>
      <c r="E6" s="9"/>
    </row>
    <row r="7" spans="1:9" x14ac:dyDescent="0.25">
      <c r="D7" s="8" t="s">
        <v>20</v>
      </c>
      <c r="E7" s="9"/>
    </row>
    <row r="8" spans="1:9" x14ac:dyDescent="0.25">
      <c r="D8" s="8" t="s">
        <v>21</v>
      </c>
      <c r="E8" s="9"/>
    </row>
    <row r="9" spans="1:9" x14ac:dyDescent="0.25">
      <c r="D9" s="8" t="s">
        <v>22</v>
      </c>
      <c r="E9" s="9"/>
    </row>
    <row r="10" spans="1:9" x14ac:dyDescent="0.25">
      <c r="D10" s="8" t="s">
        <v>23</v>
      </c>
      <c r="E10" s="9"/>
      <c r="I10" s="10"/>
    </row>
    <row r="11" spans="1:9" x14ac:dyDescent="0.25">
      <c r="D11" s="8" t="s">
        <v>24</v>
      </c>
      <c r="E11" s="9"/>
    </row>
    <row r="12" spans="1:9" x14ac:dyDescent="0.25">
      <c r="D12" s="8" t="s">
        <v>25</v>
      </c>
      <c r="E12" s="9"/>
    </row>
    <row r="13" spans="1:9" x14ac:dyDescent="0.25">
      <c r="D13" s="8" t="s">
        <v>26</v>
      </c>
      <c r="E13" s="9"/>
    </row>
    <row r="14" spans="1:9" x14ac:dyDescent="0.25">
      <c r="D14" s="8" t="s">
        <v>27</v>
      </c>
      <c r="E14" s="9"/>
      <c r="H14" s="11"/>
    </row>
    <row r="15" spans="1:9" x14ac:dyDescent="0.25">
      <c r="H15" s="11"/>
    </row>
    <row r="16" spans="1:9" x14ac:dyDescent="0.25">
      <c r="A16" s="12" t="s">
        <v>28</v>
      </c>
      <c r="B16" s="12"/>
      <c r="D16" s="40" t="s">
        <v>29</v>
      </c>
      <c r="E16" s="40"/>
      <c r="F16" s="40"/>
      <c r="G16" s="40"/>
      <c r="H16" s="40"/>
    </row>
  </sheetData>
  <mergeCells count="3">
    <mergeCell ref="A2:A3"/>
    <mergeCell ref="B2:B3"/>
    <mergeCell ref="D16:H16"/>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tabSelected="1" zoomScale="75" zoomScaleNormal="75" workbookViewId="0">
      <selection activeCell="F14" sqref="F14"/>
    </sheetView>
  </sheetViews>
  <sheetFormatPr baseColWidth="10" defaultColWidth="11.42578125" defaultRowHeight="15" x14ac:dyDescent="0.25"/>
  <cols>
    <col min="1" max="1" width="12.85546875" customWidth="1"/>
    <col min="2" max="2" width="24.5703125" customWidth="1"/>
    <col min="3" max="3" width="48" customWidth="1"/>
    <col min="4" max="4" width="41.85546875" customWidth="1"/>
    <col min="5" max="5" width="39.140625" customWidth="1"/>
    <col min="6" max="6" width="35.42578125" customWidth="1"/>
    <col min="7" max="7" width="13.5703125" style="10" customWidth="1"/>
    <col min="8" max="8" width="12.28515625" customWidth="1"/>
    <col min="9" max="9" width="12.140625" customWidth="1"/>
    <col min="10" max="10" width="13.28515625" customWidth="1"/>
  </cols>
  <sheetData>
    <row r="1" spans="1:16" x14ac:dyDescent="0.25">
      <c r="A1" s="1" t="s">
        <v>0</v>
      </c>
      <c r="B1" s="56" t="s">
        <v>47</v>
      </c>
      <c r="C1" s="56"/>
      <c r="D1" s="56"/>
      <c r="E1" s="56"/>
      <c r="F1" s="56"/>
      <c r="G1" s="30"/>
      <c r="H1" s="13"/>
      <c r="I1" s="13"/>
      <c r="J1" s="13"/>
    </row>
    <row r="2" spans="1:16" x14ac:dyDescent="0.25">
      <c r="A2" s="2" t="s">
        <v>2</v>
      </c>
      <c r="B2" s="57" t="s">
        <v>3</v>
      </c>
      <c r="C2" s="57"/>
      <c r="D2" s="57"/>
      <c r="E2" s="57"/>
      <c r="F2" s="57"/>
      <c r="G2" s="30"/>
      <c r="H2" s="13"/>
      <c r="I2" s="13"/>
      <c r="J2" s="13"/>
    </row>
    <row r="3" spans="1:16" x14ac:dyDescent="0.25">
      <c r="A3" s="58" t="s">
        <v>30</v>
      </c>
      <c r="B3" s="58"/>
      <c r="C3" s="59" t="s">
        <v>31</v>
      </c>
      <c r="D3" s="59"/>
      <c r="E3" s="59"/>
      <c r="F3" s="59"/>
      <c r="G3" s="60" t="s">
        <v>32</v>
      </c>
      <c r="H3" s="60"/>
      <c r="I3" s="47"/>
      <c r="J3" s="47"/>
    </row>
    <row r="4" spans="1:16" x14ac:dyDescent="0.25">
      <c r="A4" s="58"/>
      <c r="B4" s="58"/>
      <c r="C4" s="14" t="s">
        <v>33</v>
      </c>
      <c r="D4" s="14" t="s">
        <v>34</v>
      </c>
      <c r="E4" s="14" t="s">
        <v>35</v>
      </c>
      <c r="F4" s="15" t="s">
        <v>36</v>
      </c>
      <c r="G4" s="31" t="s">
        <v>37</v>
      </c>
      <c r="H4" s="13" t="s">
        <v>38</v>
      </c>
      <c r="I4" s="47"/>
      <c r="J4" s="47"/>
      <c r="M4" t="s">
        <v>39</v>
      </c>
      <c r="N4" t="s">
        <v>40</v>
      </c>
      <c r="O4" t="s">
        <v>41</v>
      </c>
      <c r="P4" t="s">
        <v>42</v>
      </c>
    </row>
    <row r="5" spans="1:16" ht="94.5" customHeight="1" x14ac:dyDescent="0.25">
      <c r="A5" s="48" t="s">
        <v>49</v>
      </c>
      <c r="B5" s="16" t="s">
        <v>48</v>
      </c>
      <c r="C5" s="17" t="s">
        <v>52</v>
      </c>
      <c r="D5" s="17" t="s">
        <v>53</v>
      </c>
      <c r="E5" s="17" t="s">
        <v>54</v>
      </c>
      <c r="F5" s="17" t="s">
        <v>55</v>
      </c>
      <c r="G5" s="32" t="s">
        <v>42</v>
      </c>
      <c r="H5" s="18">
        <f>IF($G5="Nivel 1",0,(IF($G5="Nivel 2",0.25,(IF($G5="Nivel 3",0.4,(IF($G5="Nivel 4",0.5,0)))))))</f>
        <v>0.5</v>
      </c>
      <c r="I5" s="49" t="s">
        <v>43</v>
      </c>
      <c r="J5" s="50">
        <f>SUM(H5+H6+H7)</f>
        <v>2</v>
      </c>
    </row>
    <row r="6" spans="1:16" ht="76.5" x14ac:dyDescent="0.25">
      <c r="A6" s="48"/>
      <c r="B6" s="16" t="s">
        <v>50</v>
      </c>
      <c r="C6" s="17" t="s">
        <v>56</v>
      </c>
      <c r="D6" s="17" t="s">
        <v>57</v>
      </c>
      <c r="E6" s="17" t="s">
        <v>58</v>
      </c>
      <c r="F6" s="19" t="s">
        <v>59</v>
      </c>
      <c r="G6" s="32" t="s">
        <v>42</v>
      </c>
      <c r="H6" s="18">
        <f>IF($G6="nivel 1",0,(IF($G6="Nivel 2",0.25,(IF($G6="Nivel 3",0.4,(IF(G6="Nivel 4",0.5,0)))))))</f>
        <v>0.5</v>
      </c>
      <c r="I6" s="49"/>
      <c r="J6" s="50"/>
    </row>
    <row r="7" spans="1:16" ht="14.25" customHeight="1" x14ac:dyDescent="0.25">
      <c r="A7" s="48"/>
      <c r="B7" s="51" t="s">
        <v>51</v>
      </c>
      <c r="C7" s="52" t="s">
        <v>60</v>
      </c>
      <c r="D7" s="52" t="s">
        <v>61</v>
      </c>
      <c r="E7" s="52" t="s">
        <v>62</v>
      </c>
      <c r="F7" s="53" t="s">
        <v>63</v>
      </c>
      <c r="G7" s="54" t="s">
        <v>42</v>
      </c>
      <c r="H7" s="55">
        <f>IF($G7="Nivel 1",0,(IF($G7="Nivel 2",0.5,(IF($G7="Nivel 3",0.8,(IF($G7="Nivel 4",1,0)))))))</f>
        <v>1</v>
      </c>
      <c r="I7" s="49"/>
      <c r="J7" s="50"/>
    </row>
    <row r="8" spans="1:16" ht="47.25" customHeight="1" x14ac:dyDescent="0.25">
      <c r="A8" s="48"/>
      <c r="B8" s="51"/>
      <c r="C8" s="52"/>
      <c r="D8" s="52"/>
      <c r="E8" s="52"/>
      <c r="F8" s="53"/>
      <c r="G8" s="54"/>
      <c r="H8" s="55"/>
      <c r="I8" s="49"/>
      <c r="J8" s="50"/>
    </row>
    <row r="9" spans="1:16" ht="207.75" customHeight="1" x14ac:dyDescent="0.25">
      <c r="A9" s="41" t="s">
        <v>71</v>
      </c>
      <c r="B9" s="61" t="s">
        <v>64</v>
      </c>
      <c r="C9" s="17" t="s">
        <v>66</v>
      </c>
      <c r="D9" s="17" t="s">
        <v>65</v>
      </c>
      <c r="E9" s="17" t="s">
        <v>67</v>
      </c>
      <c r="F9" s="19" t="s">
        <v>68</v>
      </c>
      <c r="G9" s="33" t="s">
        <v>42</v>
      </c>
      <c r="H9" s="20">
        <f>IF($G9="Nivel 1",0,(IF($G9="Nivel 2",0.1,(IF($G9="Nivel 3",0.16,(IF($G9="Nivel 4",0.2,0)))))))</f>
        <v>0.2</v>
      </c>
      <c r="I9" s="42" t="s">
        <v>44</v>
      </c>
      <c r="J9" s="43">
        <f>SUM(H9:H15)</f>
        <v>5</v>
      </c>
    </row>
    <row r="10" spans="1:16" ht="189" customHeight="1" x14ac:dyDescent="0.25">
      <c r="A10" s="41"/>
      <c r="B10" s="22" t="s">
        <v>111</v>
      </c>
      <c r="C10" s="23" t="s">
        <v>112</v>
      </c>
      <c r="D10" s="23" t="s">
        <v>113</v>
      </c>
      <c r="E10" s="23" t="s">
        <v>114</v>
      </c>
      <c r="F10" s="24" t="s">
        <v>115</v>
      </c>
      <c r="G10" s="32" t="s">
        <v>42</v>
      </c>
      <c r="H10" s="18">
        <f>IF($G10="Nivel 1",0,(IF($G10="Nivel 2",0.4,(IF($G10="Nivel 3",0.64,(IF($G10="Nivel 4",0.8,0)))))))</f>
        <v>0.8</v>
      </c>
      <c r="I10" s="42"/>
      <c r="J10" s="43"/>
    </row>
    <row r="11" spans="1:16" ht="197.25" customHeight="1" x14ac:dyDescent="0.25">
      <c r="A11" s="41"/>
      <c r="B11" s="21" t="s">
        <v>70</v>
      </c>
      <c r="C11" s="17" t="s">
        <v>116</v>
      </c>
      <c r="D11" s="17" t="s">
        <v>117</v>
      </c>
      <c r="E11" s="25" t="s">
        <v>118</v>
      </c>
      <c r="F11" s="17" t="s">
        <v>119</v>
      </c>
      <c r="G11" s="32" t="s">
        <v>42</v>
      </c>
      <c r="H11" s="18">
        <f>IF($G11="Nivel 1",0,(IF($G11="Nivel 2",0.25,(IF($G11="Nivel 3",0.4,(IF($G5="Nivel 4",0.5,0)))))))</f>
        <v>0.5</v>
      </c>
      <c r="I11" s="42"/>
      <c r="J11" s="43"/>
    </row>
    <row r="12" spans="1:16" ht="168" customHeight="1" x14ac:dyDescent="0.25">
      <c r="A12" s="41"/>
      <c r="B12" s="21" t="s">
        <v>69</v>
      </c>
      <c r="C12" s="17" t="s">
        <v>107</v>
      </c>
      <c r="D12" s="17" t="s">
        <v>108</v>
      </c>
      <c r="E12" s="17" t="s">
        <v>109</v>
      </c>
      <c r="F12" s="19" t="s">
        <v>110</v>
      </c>
      <c r="G12" s="33" t="s">
        <v>42</v>
      </c>
      <c r="H12" s="18">
        <f>IF($G12="Nivel 1",0,(IF($G12="Nivel 2",0.5,(IF($G12="Nivel 3",0.8,(IF($G12="Nivel 4",1,0)))))))</f>
        <v>1</v>
      </c>
      <c r="I12" s="42"/>
      <c r="J12" s="43"/>
    </row>
    <row r="13" spans="1:16" ht="113.25" customHeight="1" x14ac:dyDescent="0.25">
      <c r="A13" s="41"/>
      <c r="B13" s="21" t="s">
        <v>102</v>
      </c>
      <c r="C13" s="17" t="s">
        <v>103</v>
      </c>
      <c r="D13" s="35" t="s">
        <v>104</v>
      </c>
      <c r="E13" s="17" t="s">
        <v>105</v>
      </c>
      <c r="F13" s="19" t="s">
        <v>106</v>
      </c>
      <c r="G13" s="33" t="s">
        <v>42</v>
      </c>
      <c r="H13" s="20">
        <f>IF($G13="Nivel 1",0,(IF($G13="Nivel 2",0.75,(IF($G13="Nivel 3",1.1,(IF($G13="Nivel 4",1.5,0)))))))</f>
        <v>1.5</v>
      </c>
      <c r="I13" s="42"/>
      <c r="J13" s="43"/>
    </row>
    <row r="14" spans="1:16" ht="183.75" customHeight="1" x14ac:dyDescent="0.25">
      <c r="A14" s="41"/>
      <c r="B14" s="21" t="s">
        <v>101</v>
      </c>
      <c r="C14" s="17" t="s">
        <v>98</v>
      </c>
      <c r="D14" s="17" t="s">
        <v>99</v>
      </c>
      <c r="E14" s="17" t="s">
        <v>120</v>
      </c>
      <c r="F14" s="19" t="s">
        <v>100</v>
      </c>
      <c r="G14" s="32" t="s">
        <v>42</v>
      </c>
      <c r="H14" s="18">
        <f>IF($G14="Nivel 1",0,(IF($G14="Nivel 2",0.35,(IF($G14="Nivel 3",0.56,(IF($G14="Nivel 4",0.7,0)))))))</f>
        <v>0.7</v>
      </c>
      <c r="I14" s="42"/>
      <c r="J14" s="43"/>
    </row>
    <row r="15" spans="1:16" ht="51" x14ac:dyDescent="0.25">
      <c r="A15" s="41"/>
      <c r="B15" s="21" t="s">
        <v>93</v>
      </c>
      <c r="C15" s="17" t="s">
        <v>94</v>
      </c>
      <c r="D15" s="17" t="s">
        <v>95</v>
      </c>
      <c r="E15" s="17" t="s">
        <v>96</v>
      </c>
      <c r="F15" s="19" t="s">
        <v>97</v>
      </c>
      <c r="G15" s="33" t="s">
        <v>42</v>
      </c>
      <c r="H15" s="20">
        <f>IF($G15="Nivel 1",0,(IF($G15="Nivel 2",0.15,(IF($G15="Nivel 3",0.24,(IF($G15="Nivel 4",0.3,0)))))))</f>
        <v>0.3</v>
      </c>
      <c r="I15" s="42"/>
      <c r="J15" s="43"/>
    </row>
    <row r="16" spans="1:16" ht="114.4" customHeight="1" x14ac:dyDescent="0.25">
      <c r="A16" s="44" t="s">
        <v>73</v>
      </c>
      <c r="B16" s="26" t="s">
        <v>76</v>
      </c>
      <c r="C16" s="17" t="s">
        <v>89</v>
      </c>
      <c r="D16" s="17" t="s">
        <v>90</v>
      </c>
      <c r="E16" s="17" t="s">
        <v>91</v>
      </c>
      <c r="F16" s="19" t="s">
        <v>92</v>
      </c>
      <c r="G16" s="33" t="s">
        <v>42</v>
      </c>
      <c r="H16" s="20">
        <f>IF($G16="Nivel 1",0,(IF($G16="Nivel 2",0.5,(IF($G16="Nivel 3",0.8,(IF($G16="Nivel 4",1,0)))))))</f>
        <v>1</v>
      </c>
      <c r="I16" s="45" t="s">
        <v>45</v>
      </c>
      <c r="J16" s="46">
        <f>SUM(H16:H19)</f>
        <v>3</v>
      </c>
    </row>
    <row r="17" spans="1:10" ht="102" x14ac:dyDescent="0.25">
      <c r="A17" s="44"/>
      <c r="B17" s="26" t="s">
        <v>75</v>
      </c>
      <c r="C17" s="17" t="s">
        <v>85</v>
      </c>
      <c r="D17" s="17" t="s">
        <v>86</v>
      </c>
      <c r="E17" s="17" t="s">
        <v>87</v>
      </c>
      <c r="F17" s="19" t="s">
        <v>88</v>
      </c>
      <c r="G17" s="33" t="s">
        <v>42</v>
      </c>
      <c r="H17" s="20">
        <f>IF($G17="Nivel 1",0,(IF($G17="Nivel 2",0.2,(IF($G17="Nivel 3",0.3,(IF($G17="Nivel 4",0.4,0)))))))</f>
        <v>0.4</v>
      </c>
      <c r="I17" s="45"/>
      <c r="J17" s="46"/>
    </row>
    <row r="18" spans="1:10" ht="63.75" x14ac:dyDescent="0.25">
      <c r="A18" s="44"/>
      <c r="B18" s="26" t="s">
        <v>74</v>
      </c>
      <c r="C18" s="17" t="s">
        <v>81</v>
      </c>
      <c r="D18" s="17" t="s">
        <v>82</v>
      </c>
      <c r="E18" s="17" t="s">
        <v>83</v>
      </c>
      <c r="F18" s="19" t="s">
        <v>84</v>
      </c>
      <c r="G18" s="33" t="s">
        <v>42</v>
      </c>
      <c r="H18" s="18">
        <f>IF($G18="Nivel 1",0,(IF($G18="Nivel 2",0.4,(IF($G18="Nivel 3",0.6,(IF($G18="Nivel 4",0.8,0)))))))</f>
        <v>0.8</v>
      </c>
      <c r="I18" s="45"/>
      <c r="J18" s="46"/>
    </row>
    <row r="19" spans="1:10" ht="77.25" thickBot="1" x14ac:dyDescent="0.3">
      <c r="A19" s="44"/>
      <c r="B19" s="27" t="s">
        <v>72</v>
      </c>
      <c r="C19" s="17" t="s">
        <v>77</v>
      </c>
      <c r="D19" s="17" t="s">
        <v>78</v>
      </c>
      <c r="E19" s="17" t="s">
        <v>79</v>
      </c>
      <c r="F19" s="19" t="s">
        <v>80</v>
      </c>
      <c r="G19" s="33" t="s">
        <v>42</v>
      </c>
      <c r="H19" s="28">
        <f>IF($G19="Nivel 1",0,(IF($G19="Nivel 2",0.4,(IF($G19="Nivel 3",0.6,(IF($G19="Nivel 4",0.8,0)))))))</f>
        <v>0.8</v>
      </c>
      <c r="I19" s="45"/>
      <c r="J19" s="46"/>
    </row>
    <row r="20" spans="1:10" ht="21.75" thickBot="1" x14ac:dyDescent="0.3">
      <c r="G20" s="34" t="s">
        <v>46</v>
      </c>
      <c r="H20" s="29">
        <f>SUM(J5:J19)</f>
        <v>10</v>
      </c>
    </row>
  </sheetData>
  <mergeCells count="22">
    <mergeCell ref="B1:F1"/>
    <mergeCell ref="B2:F2"/>
    <mergeCell ref="A3:B4"/>
    <mergeCell ref="C3:F3"/>
    <mergeCell ref="G3:H3"/>
    <mergeCell ref="I3:J4"/>
    <mergeCell ref="A5:A8"/>
    <mergeCell ref="I5:I8"/>
    <mergeCell ref="J5:J8"/>
    <mergeCell ref="B7:B8"/>
    <mergeCell ref="C7:C8"/>
    <mergeCell ref="D7:D8"/>
    <mergeCell ref="E7:E8"/>
    <mergeCell ref="F7:F8"/>
    <mergeCell ref="G7:G8"/>
    <mergeCell ref="H7:H8"/>
    <mergeCell ref="A9:A15"/>
    <mergeCell ref="I9:I15"/>
    <mergeCell ref="J9:J15"/>
    <mergeCell ref="A16:A19"/>
    <mergeCell ref="I16:I19"/>
    <mergeCell ref="J16:J19"/>
  </mergeCells>
  <phoneticPr fontId="14" type="noConversion"/>
  <dataValidations count="1">
    <dataValidation type="list" errorStyle="warning" allowBlank="1" showInputMessage="1" showErrorMessage="1" errorTitle="Valor erróneo" error="El valor no es correcto. Selecciona uno de los niveles predefinidos" prompt="Selecciona uno de los cuatro niveles." sqref="G5:G7 G9:G19" xr:uid="{00000000-0002-0000-0200-000000000000}">
      <formula1>$M$4:$Q$4</formula1>
      <formula2>0</formula2>
    </dataValidation>
  </dataValidations>
  <pageMargins left="0.7" right="0.7" top="0.75" bottom="0.75" header="0.511811023622047" footer="0.511811023622047"/>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8806F2729861B41B7EC49B6DEC02BCC" ma:contentTypeVersion="19" ma:contentTypeDescription="Crear nuevo documento." ma:contentTypeScope="" ma:versionID="aa060be1a5dddb67ccbe269a5a60c7d1">
  <xsd:schema xmlns:xsd="http://www.w3.org/2001/XMLSchema" xmlns:xs="http://www.w3.org/2001/XMLSchema" xmlns:p="http://schemas.microsoft.com/office/2006/metadata/properties" xmlns:ns2="408be90b-7af1-4348-adf8-80036b355e81" xmlns:ns3="0a70e875-3d35-4be2-921f-7117c31bab9b" targetNamespace="http://schemas.microsoft.com/office/2006/metadata/properties" ma:root="true" ma:fieldsID="0ae0c9da05c0f6f4972abc3daf7f3b3b" ns2:_="" ns3:_="">
    <xsd:import namespace="408be90b-7af1-4348-adf8-80036b355e81"/>
    <xsd:import namespace="0a70e875-3d35-4be2-921f-7117c31bab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8be90b-7af1-4348-adf8-80036b355e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Estado de aprobación" ma:internalName="Estado_x0020_de_x0020_aprobaci_x00f3_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70e875-3d35-4be2-921f-7117c31bab9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c7f67346-78c9-4c4d-b954-8d350fdf60db}" ma:internalName="TaxCatchAll" ma:showField="CatchAllData" ma:web="0a70e875-3d35-4be2-921f-7117c31bab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a70e875-3d35-4be2-921f-7117c31bab9b" xsi:nil="true"/>
    <lcf76f155ced4ddcb4097134ff3c332f xmlns="408be90b-7af1-4348-adf8-80036b355e81">
      <Terms xmlns="http://schemas.microsoft.com/office/infopath/2007/PartnerControls"/>
    </lcf76f155ced4ddcb4097134ff3c332f>
    <_Flow_SignoffStatus xmlns="408be90b-7af1-4348-adf8-80036b355e81" xsi:nil="true"/>
  </documentManagement>
</p:properties>
</file>

<file path=customXml/itemProps1.xml><?xml version="1.0" encoding="utf-8"?>
<ds:datastoreItem xmlns:ds="http://schemas.openxmlformats.org/officeDocument/2006/customXml" ds:itemID="{D2524EAC-035B-4C77-99B9-872DE2EBDC07}">
  <ds:schemaRefs>
    <ds:schemaRef ds:uri="http://schemas.microsoft.com/sharepoint/v3/contenttype/forms"/>
  </ds:schemaRefs>
</ds:datastoreItem>
</file>

<file path=customXml/itemProps2.xml><?xml version="1.0" encoding="utf-8"?>
<ds:datastoreItem xmlns:ds="http://schemas.openxmlformats.org/officeDocument/2006/customXml" ds:itemID="{3C6C4BF1-8505-4F11-A1D1-1705628AD1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8be90b-7af1-4348-adf8-80036b355e81"/>
    <ds:schemaRef ds:uri="0a70e875-3d35-4be2-921f-7117c31bab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268A1C-5739-456D-89C9-A519577F1931}">
  <ds:schemaRefs>
    <ds:schemaRef ds:uri="http://schemas.microsoft.com/office/2006/metadata/properties"/>
    <ds:schemaRef ds:uri="http://schemas.microsoft.com/office/infopath/2007/PartnerControls"/>
    <ds:schemaRef ds:uri="0a70e875-3d35-4be2-921f-7117c31bab9b"/>
    <ds:schemaRef ds:uri="408be90b-7af1-4348-adf8-80036b355e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CHECK-LIST</vt:lpstr>
      <vt:lpstr>SIG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María Jesús Nafria Fernández</cp:lastModifiedBy>
  <cp:revision>1</cp:revision>
  <dcterms:created xsi:type="dcterms:W3CDTF">2023-02-13T17:00:17Z</dcterms:created>
  <dcterms:modified xsi:type="dcterms:W3CDTF">2024-03-26T13:48:03Z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0x010100E8806F2729861B41B7EC49B6DEC02BCC</vt:lpwstr>
  </property>
  <property fmtid="{D5CDD505-2E9C-101B-9397-08002B2CF9AE}" pid="3" name="MediaServiceImageTags">
    <vt:lpwstr/>
  </property>
</Properties>
</file>